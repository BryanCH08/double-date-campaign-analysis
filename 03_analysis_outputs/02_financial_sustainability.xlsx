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_Portofolio\"/>
    </mc:Choice>
  </mc:AlternateContent>
  <xr:revisionPtr revIDLastSave="0" documentId="13_ncr:1_{FF8410D3-AA5E-430B-9BC2-8A8D3D718E84}" xr6:coauthVersionLast="47" xr6:coauthVersionMax="47" xr10:uidLastSave="{00000000-0000-0000-0000-000000000000}"/>
  <bookViews>
    <workbookView xWindow="-108" yWindow="-108" windowWidth="23256" windowHeight="12456" xr2:uid="{B1E615A6-7A1F-4206-BF25-690B322C5668}"/>
  </bookViews>
  <sheets>
    <sheet name="bquxjob_6292ef86_19f7e4ad6bb" sheetId="1" r:id="rId1"/>
    <sheet name="GPBD" sheetId="2" r:id="rId2"/>
    <sheet name="GPBD MARGIN" sheetId="4" r:id="rId3"/>
    <sheet name="GPAD_TP" sheetId="3" r:id="rId4"/>
    <sheet name="GPAD_TP MARGIN" sheetId="5" r:id="rId5"/>
  </sheets>
  <calcPr calcId="191029"/>
</workbook>
</file>

<file path=xl/calcChain.xml><?xml version="1.0" encoding="utf-8"?>
<calcChain xmlns="http://schemas.openxmlformats.org/spreadsheetml/2006/main">
  <c r="I3" i="3" l="1"/>
  <c r="I4" i="3"/>
  <c r="I5" i="3"/>
  <c r="I2" i="3"/>
  <c r="G5" i="3"/>
  <c r="G4" i="3"/>
  <c r="G3" i="3"/>
  <c r="G2" i="3"/>
  <c r="E2" i="2"/>
  <c r="F2" i="2"/>
  <c r="F3" i="2"/>
  <c r="F4" i="2"/>
  <c r="F5" i="2"/>
  <c r="E3" i="2"/>
  <c r="E4" i="2"/>
  <c r="E5" i="2"/>
  <c r="F3" i="3"/>
  <c r="F4" i="3"/>
  <c r="F5" i="3"/>
  <c r="F2" i="3"/>
  <c r="H3" i="3"/>
  <c r="H2" i="3" l="1"/>
  <c r="H5" i="3"/>
  <c r="H4" i="3"/>
</calcChain>
</file>

<file path=xl/sharedStrings.xml><?xml version="1.0" encoding="utf-8"?>
<sst xmlns="http://schemas.openxmlformats.org/spreadsheetml/2006/main" count="78" uniqueCount="41">
  <si>
    <t>month</t>
  </si>
  <si>
    <t>dd_days</t>
  </si>
  <si>
    <t>normal_days</t>
  </si>
  <si>
    <t>dd_avg_daily_tpv</t>
  </si>
  <si>
    <t>normal_avg_daily_tpv</t>
  </si>
  <si>
    <t>dd_avg_daily_gpbd</t>
  </si>
  <si>
    <t>normal_avg_daily_gpbd</t>
  </si>
  <si>
    <t>dd_gpbd_margin</t>
  </si>
  <si>
    <t>normal_gpbd_margin</t>
  </si>
  <si>
    <t>dd_avg_daily_gpad_tp</t>
  </si>
  <si>
    <t>normal_avg_daily_gpad_tp</t>
  </si>
  <si>
    <t>dd_total_gpad_tp</t>
  </si>
  <si>
    <t>dd_gpad_margin</t>
  </si>
  <si>
    <t>normal_gpad_margin</t>
  </si>
  <si>
    <t>dd_avg_daily_promo_cost</t>
  </si>
  <si>
    <t>normal_avg_daily_promo_cost</t>
  </si>
  <si>
    <t>dd_promo_cost_rate</t>
  </si>
  <si>
    <t>normal_promo_cost_rate</t>
  </si>
  <si>
    <t>avg_daily_gpbd_gap</t>
  </si>
  <si>
    <t>avg_daily_gpad_gap</t>
  </si>
  <si>
    <t>gpbd_margin_change_pp</t>
  </si>
  <si>
    <t>gpad_margin_change_pp</t>
  </si>
  <si>
    <t>promo_cost_rate_change_pp</t>
  </si>
  <si>
    <t>expected_gpad_at_normal_baseline</t>
  </si>
  <si>
    <t>incremental_gpad_gap_total</t>
  </si>
  <si>
    <t>incremental_gpad_sacrifice</t>
  </si>
  <si>
    <t>worst_gpad_loss_rank</t>
  </si>
  <si>
    <t>2024-09</t>
  </si>
  <si>
    <t>2024-10</t>
  </si>
  <si>
    <t>2024-11</t>
  </si>
  <si>
    <t>2024-12</t>
  </si>
  <si>
    <t>loss_rank</t>
  </si>
  <si>
    <t>campaign</t>
  </si>
  <si>
    <t>gpbd_gap_label</t>
  </si>
  <si>
    <t>gpad_gap_label</t>
  </si>
  <si>
    <t>Gap -Rp1.0M/day</t>
  </si>
  <si>
    <t>Gap -Rp1.5M/day</t>
  </si>
  <si>
    <t>Gap -Rp2.4M/day</t>
  </si>
  <si>
    <t>Gap -Rp4.6M/day</t>
  </si>
  <si>
    <t>Normal Days</t>
  </si>
  <si>
    <t>Double-Date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</si>
</sst>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0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" formatCode="0.00"/>
    </dxf>
  </dxfs>
  <tableStyles count="0" defaultTableStyle="TableStyleMedium2" defaultPivotStyle="PivotStyleLight16"/>
  <colors>
    <mruColors>
      <color rgb="FFA6A6A6"/>
      <color rgb="FFD94C4C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GPBD!$C$1</c:f>
              <c:strCache>
                <c:ptCount val="1"/>
                <c:pt idx="0">
                  <c:v>Normal Days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6A6A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F3B-4CAC-9E0A-FA52F20E167E}"/>
              </c:ext>
            </c:extLst>
          </c:dPt>
          <c:cat>
            <c:strRef>
              <c:f>GPBD!$E$2:$E$5</c:f>
              <c:strCache>
                <c:ptCount val="4"/>
                <c:pt idx="0">
                  <c:v>9.9</c:v>
                </c:pt>
                <c:pt idx="1">
                  <c:v>10.10</c:v>
                </c:pt>
                <c:pt idx="2">
                  <c:v>11.11</c:v>
                </c:pt>
                <c:pt idx="3">
                  <c:v>12.12</c:v>
                </c:pt>
              </c:strCache>
            </c:strRef>
          </c:cat>
          <c:val>
            <c:numRef>
              <c:f>GPBD!$C$2:$C$5</c:f>
              <c:numCache>
                <c:formatCode>General</c:formatCode>
                <c:ptCount val="4"/>
                <c:pt idx="0">
                  <c:v>2215814.6638095202</c:v>
                </c:pt>
                <c:pt idx="1">
                  <c:v>2417843.6671428499</c:v>
                </c:pt>
                <c:pt idx="2">
                  <c:v>2664304.4226315701</c:v>
                </c:pt>
                <c:pt idx="3">
                  <c:v>3019495.3773684199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3B-4CAC-9E0A-FA52F20E167E}"/>
            </c:ext>
          </c:extLst>
        </c:ser>
        <c:ser>
          <c:idx val="0"/>
          <c:order val="1"/>
          <c:tx>
            <c:strRef>
              <c:f>GPBD!$B$1</c:f>
              <c:strCache>
                <c:ptCount val="1"/>
                <c:pt idx="0">
                  <c:v>Double-Date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F3B-4CAC-9E0A-FA52F20E167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039F8F9-F8EC-4616-8CE3-C1A7C1E49AC0}" type="CELLRANGE">
                      <a:rPr lang="en-US"/>
                      <a:pPr/>
                      <a:t>[CELLRANGE]</a:t>
                    </a:fld>
                    <a:endParaRPr lang="id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F3B-4CAC-9E0A-FA52F20E167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0139BBE-BDF8-4A6B-B6E0-6B1F288CB010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F3B-4CAC-9E0A-FA52F20E167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0396F99-E88D-4D57-A429-CA25217DABED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F3B-4CAC-9E0A-FA52F20E167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DAE5112-5E8C-45D2-BF24-5978B18CB0AD}" type="CELLRANGE">
                      <a:rPr lang="id-ID"/>
                      <a:pPr/>
                      <a:t>[CELLRANGE]</a:t>
                    </a:fld>
                    <a:endParaRPr lang="id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F3B-4CAC-9E0A-FA52F20E16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GPBD!$E$2:$E$5</c:f>
              <c:strCache>
                <c:ptCount val="4"/>
                <c:pt idx="0">
                  <c:v>9.9</c:v>
                </c:pt>
                <c:pt idx="1">
                  <c:v>10.10</c:v>
                </c:pt>
                <c:pt idx="2">
                  <c:v>11.11</c:v>
                </c:pt>
                <c:pt idx="3">
                  <c:v>12.12</c:v>
                </c:pt>
              </c:strCache>
            </c:strRef>
          </c:cat>
          <c:val>
            <c:numRef>
              <c:f>GPBD!$B$2:$B$5</c:f>
              <c:numCache>
                <c:formatCode>General</c:formatCode>
                <c:ptCount val="4"/>
                <c:pt idx="0">
                  <c:v>3202671.01888888</c:v>
                </c:pt>
                <c:pt idx="1">
                  <c:v>3477866.2990000001</c:v>
                </c:pt>
                <c:pt idx="2">
                  <c:v>4703451.0054545403</c:v>
                </c:pt>
                <c:pt idx="3">
                  <c:v>6625950.4649999999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GPBD!$F$2:$F$5</c15:f>
                <c15:dlblRangeCache>
                  <c:ptCount val="4"/>
                  <c:pt idx="0">
                    <c:v>+Rp1.0M/day</c:v>
                  </c:pt>
                  <c:pt idx="1">
                    <c:v>+Rp1.1M/day</c:v>
                  </c:pt>
                  <c:pt idx="2">
                    <c:v>+Rp2.0M/day</c:v>
                  </c:pt>
                  <c:pt idx="3">
                    <c:v>+Rp3.6M/day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F3B-4CAC-9E0A-FA52F20E1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402058352"/>
        <c:axId val="402063632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GPBD!$D$1</c15:sqref>
                        </c15:formulaRef>
                      </c:ext>
                    </c:extLst>
                    <c:strCache>
                      <c:ptCount val="1"/>
                      <c:pt idx="0">
                        <c:v>avg_daily_gpbd_gap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GPBD!$E$2:$E$5</c15:sqref>
                        </c15:formulaRef>
                      </c:ext>
                    </c:extLst>
                    <c:strCache>
                      <c:ptCount val="4"/>
                      <c:pt idx="0">
                        <c:v>9.9</c:v>
                      </c:pt>
                      <c:pt idx="1">
                        <c:v>10.10</c:v>
                      </c:pt>
                      <c:pt idx="2">
                        <c:v>11.11</c:v>
                      </c:pt>
                      <c:pt idx="3">
                        <c:v>12.12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GPBD!$D$2:$D$5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986856.35507936403</c:v>
                      </c:pt>
                      <c:pt idx="1">
                        <c:v>1060022.63185714</c:v>
                      </c:pt>
                      <c:pt idx="2">
                        <c:v>2039146.5828229601</c:v>
                      </c:pt>
                      <c:pt idx="3">
                        <c:v>3606455.0876315702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F3B-4CAC-9E0A-FA52F20E167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GPBD!$E$1</c15:sqref>
                        </c15:formulaRef>
                      </c:ext>
                    </c:extLst>
                    <c:strCache>
                      <c:ptCount val="1"/>
                      <c:pt idx="0">
                        <c:v>campaign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GPBD!$E$2:$E$5</c15:sqref>
                        </c15:formulaRef>
                      </c:ext>
                    </c:extLst>
                    <c:strCache>
                      <c:ptCount val="4"/>
                      <c:pt idx="0">
                        <c:v>9.9</c:v>
                      </c:pt>
                      <c:pt idx="1">
                        <c:v>10.10</c:v>
                      </c:pt>
                      <c:pt idx="2">
                        <c:v>11.11</c:v>
                      </c:pt>
                      <c:pt idx="3">
                        <c:v>12.12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GPBD!$E$2:$E$5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F3B-4CAC-9E0A-FA52F20E167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GPBD!$F$1</c15:sqref>
                        </c15:formulaRef>
                      </c:ext>
                    </c:extLst>
                    <c:strCache>
                      <c:ptCount val="1"/>
                      <c:pt idx="0">
                        <c:v>gpbd_gap_label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GPBD!$E$2:$E$5</c15:sqref>
                        </c15:formulaRef>
                      </c:ext>
                    </c:extLst>
                    <c:strCache>
                      <c:ptCount val="4"/>
                      <c:pt idx="0">
                        <c:v>9.9</c:v>
                      </c:pt>
                      <c:pt idx="1">
                        <c:v>10.10</c:v>
                      </c:pt>
                      <c:pt idx="2">
                        <c:v>11.11</c:v>
                      </c:pt>
                      <c:pt idx="3">
                        <c:v>12.12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GPBD!$F$2:$F$5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F3B-4CAC-9E0A-FA52F20E167E}"/>
                  </c:ext>
                </c:extLst>
              </c15:ser>
            </c15:filteredBarSeries>
          </c:ext>
        </c:extLst>
      </c:barChart>
      <c:catAx>
        <c:axId val="40205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02063632"/>
        <c:crosses val="autoZero"/>
        <c:auto val="1"/>
        <c:lblAlgn val="ctr"/>
        <c:lblOffset val="100"/>
        <c:noMultiLvlLbl val="0"/>
      </c:catAx>
      <c:valAx>
        <c:axId val="402063632"/>
        <c:scaling>
          <c:orientation val="minMax"/>
          <c:max val="8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1000" b="0" i="0" u="none" strike="noStrike" baseline="0"/>
                  <a:t>Average Daily GPBD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\R\p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402058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GPAD_TP!$L$1</c:f>
              <c:strCache>
                <c:ptCount val="1"/>
                <c:pt idx="0">
                  <c:v>Normal Days</c:v>
                </c:pt>
              </c:strCache>
            </c:strRef>
          </c:tx>
          <c:spPr>
            <a:solidFill>
              <a:srgbClr val="A6A6A6">
                <a:alpha val="81000"/>
              </a:srgbClr>
            </a:solidFill>
            <a:ln>
              <a:noFill/>
            </a:ln>
            <a:effectLst/>
          </c:spPr>
          <c:invertIfNegative val="0"/>
          <c:dLbls>
            <c:numFmt formatCode="\+\R\p0.0,,&quot;M&quot;;\-\R\p0.0,,&quot;M&quot;;\R\p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GPAD_TP!$K$2:$K$5</c:f>
              <c:numCache>
                <c:formatCode>0.00</c:formatCode>
                <c:ptCount val="4"/>
                <c:pt idx="0" formatCode="0.0">
                  <c:v>9.9</c:v>
                </c:pt>
                <c:pt idx="1">
                  <c:v>10.1</c:v>
                </c:pt>
                <c:pt idx="2">
                  <c:v>11.11</c:v>
                </c:pt>
                <c:pt idx="3">
                  <c:v>12.12</c:v>
                </c:pt>
              </c:numCache>
            </c:numRef>
          </c:cat>
          <c:val>
            <c:numRef>
              <c:f>GPAD_TP!$L$2:$L$5</c:f>
              <c:numCache>
                <c:formatCode>General</c:formatCode>
                <c:ptCount val="4"/>
                <c:pt idx="0">
                  <c:v>816824.60095238104</c:v>
                </c:pt>
                <c:pt idx="1">
                  <c:v>875395.34047618997</c:v>
                </c:pt>
                <c:pt idx="2">
                  <c:v>967611.44684210501</c:v>
                </c:pt>
                <c:pt idx="3">
                  <c:v>1080184.5994736799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0-48C2-9F9A-D7C061A8BA7D}"/>
            </c:ext>
          </c:extLst>
        </c:ser>
        <c:ser>
          <c:idx val="1"/>
          <c:order val="1"/>
          <c:tx>
            <c:strRef>
              <c:f>GPAD_TP!$M$1</c:f>
              <c:strCache>
                <c:ptCount val="1"/>
                <c:pt idx="0">
                  <c:v>Double-Date</c:v>
                </c:pt>
              </c:strCache>
            </c:strRef>
          </c:tx>
          <c:spPr>
            <a:solidFill>
              <a:srgbClr val="D94C4C"/>
            </a:solidFill>
            <a:ln>
              <a:noFill/>
            </a:ln>
            <a:effectLst/>
          </c:spPr>
          <c:invertIfNegative val="0"/>
          <c:dLbls>
            <c:numFmt formatCode="\+\R\p0.0,,&quot;M&quot;;\-\R\p0.0,,&quot;M&quot;;\R\p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GPAD_TP!$K$2:$K$5</c:f>
              <c:numCache>
                <c:formatCode>0.00</c:formatCode>
                <c:ptCount val="4"/>
                <c:pt idx="0" formatCode="0.0">
                  <c:v>9.9</c:v>
                </c:pt>
                <c:pt idx="1">
                  <c:v>10.1</c:v>
                </c:pt>
                <c:pt idx="2">
                  <c:v>11.11</c:v>
                </c:pt>
                <c:pt idx="3">
                  <c:v>12.12</c:v>
                </c:pt>
              </c:numCache>
            </c:numRef>
          </c:cat>
          <c:val>
            <c:numRef>
              <c:f>GPAD_TP!$M$2:$M$5</c:f>
              <c:numCache>
                <c:formatCode>General</c:formatCode>
                <c:ptCount val="4"/>
                <c:pt idx="0">
                  <c:v>-198529.63666666599</c:v>
                </c:pt>
                <c:pt idx="1">
                  <c:v>-646822.91599999997</c:v>
                </c:pt>
                <c:pt idx="2">
                  <c:v>-1461371.64181818</c:v>
                </c:pt>
                <c:pt idx="3">
                  <c:v>-3562548.5483333301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10-48C2-9F9A-D7C061A8B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2123816416"/>
        <c:axId val="2123813536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GPAD_TP!$N$1</c15:sqref>
                        </c15:formulaRef>
                      </c:ext>
                    </c:extLst>
                    <c:strCache>
                      <c:ptCount val="1"/>
                      <c:pt idx="0">
                        <c:v>gpad_gap_label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GPAD_TP!$K$2:$K$5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 formatCode="0.0">
                        <c:v>9.9</c:v>
                      </c:pt>
                      <c:pt idx="1">
                        <c:v>10.1</c:v>
                      </c:pt>
                      <c:pt idx="2">
                        <c:v>11.11</c:v>
                      </c:pt>
                      <c:pt idx="3">
                        <c:v>12.12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GPAD_TP!$N$2:$N$5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610-48C2-9F9A-D7C061A8BA7D}"/>
                  </c:ext>
                </c:extLst>
              </c15:ser>
            </c15:filteredBarSeries>
          </c:ext>
        </c:extLst>
      </c:barChart>
      <c:catAx>
        <c:axId val="2123816416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23813536"/>
        <c:crosses val="autoZero"/>
        <c:auto val="1"/>
        <c:lblAlgn val="ctr"/>
        <c:lblOffset val="0"/>
        <c:noMultiLvlLbl val="0"/>
      </c:catAx>
      <c:valAx>
        <c:axId val="2123813536"/>
        <c:scaling>
          <c:orientation val="minMax"/>
          <c:min val="-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  <a:alpha val="94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1000" b="0" i="0" u="none" strike="noStrike" baseline="0"/>
                  <a:t>Average Daily GPAD-TP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\R\p0,,&quot;M&quot;;\-\R\p0,,&quot;M&quot;;\R\p0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12381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25830</xdr:colOff>
      <xdr:row>7</xdr:row>
      <xdr:rowOff>174355</xdr:rowOff>
    </xdr:from>
    <xdr:to>
      <xdr:col>5</xdr:col>
      <xdr:colOff>259079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803D33-09D3-F654-665B-676187FE9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383539</xdr:colOff>
      <xdr:row>6</xdr:row>
      <xdr:rowOff>44859</xdr:rowOff>
    </xdr:from>
    <xdr:to>
      <xdr:col>13</xdr:col>
      <xdr:colOff>48627</xdr:colOff>
      <xdr:row>22</xdr:row>
      <xdr:rowOff>30726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C9EFD58-EA66-4D23-7F3E-BFDB1C9A0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630AE7-91B5-4F6B-A068-D3E898834C87}" name="Table1" displayName="Table1" ref="K1:N5" totalsRowShown="0">
  <autoFilter ref="K1:N5" xr:uid="{E7630AE7-91B5-4F6B-A068-D3E898834C87}"/>
  <tableColumns count="4">
    <tableColumn id="1" xr3:uid="{304AEEA5-6228-4F94-B13E-FFD3B55EF1F8}" name="campaign" dataDxfId="0"/>
    <tableColumn id="2" xr3:uid="{F63C34DF-B777-479F-90D2-7E415380C7D7}" name="Normal Days"/>
    <tableColumn id="3" xr3:uid="{4457AEE3-2231-43E4-BE0E-B6D466353D29}" name="Double-Date"/>
    <tableColumn id="4" xr3:uid="{7460F056-EF44-4117-8383-5F33DC253C49}" name="gpad_gap_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F2749-6516-4A35-A858-80B1533D78D8}">
  <dimension ref="A1:AA5"/>
  <sheetViews>
    <sheetView tabSelected="1" workbookViewId="0">
      <selection activeCell="L19" sqref="L19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>
        <v>9</v>
      </c>
      <c r="C2">
        <v>21</v>
      </c>
      <c r="D2">
        <v>56353782.8755555</v>
      </c>
      <c r="E2">
        <v>39775104.2514285</v>
      </c>
      <c r="F2">
        <v>3202671.01888888</v>
      </c>
      <c r="G2">
        <v>2215814.6638095202</v>
      </c>
      <c r="H2">
        <v>5.68315178762933E-2</v>
      </c>
      <c r="I2">
        <v>5.5708582177504601E-2</v>
      </c>
      <c r="J2">
        <v>-198529.63666666599</v>
      </c>
      <c r="K2">
        <v>816824.60095238104</v>
      </c>
      <c r="L2">
        <v>-1786766.73</v>
      </c>
      <c r="M2">
        <v>-3.5229158813539401E-3</v>
      </c>
      <c r="N2">
        <v>2.05360769336775E-2</v>
      </c>
      <c r="O2">
        <v>3401200.65555555</v>
      </c>
      <c r="P2">
        <v>1398990.0628571401</v>
      </c>
      <c r="Q2">
        <v>6.0354433757647201E-2</v>
      </c>
      <c r="R2">
        <v>3.5172505243827097E-2</v>
      </c>
      <c r="S2">
        <v>986856.35507936403</v>
      </c>
      <c r="T2">
        <v>-1015354.23761904</v>
      </c>
      <c r="U2">
        <v>0.11229356987886099</v>
      </c>
      <c r="V2">
        <v>-2.4058992815031401</v>
      </c>
      <c r="W2">
        <v>2.5181928513820102</v>
      </c>
      <c r="X2">
        <v>7351421.4085714296</v>
      </c>
      <c r="Y2">
        <v>-9138188.13857143</v>
      </c>
      <c r="Z2">
        <v>9138188.13857143</v>
      </c>
      <c r="AA2">
        <v>4</v>
      </c>
    </row>
    <row r="3" spans="1:27" x14ac:dyDescent="0.3">
      <c r="A3" t="s">
        <v>28</v>
      </c>
      <c r="B3">
        <v>10</v>
      </c>
      <c r="C3">
        <v>21</v>
      </c>
      <c r="D3">
        <v>61197201.377999902</v>
      </c>
      <c r="E3">
        <v>43363614.083809502</v>
      </c>
      <c r="F3">
        <v>3477866.2990000001</v>
      </c>
      <c r="G3">
        <v>2417843.6671428499</v>
      </c>
      <c r="H3">
        <v>5.68304795102978E-2</v>
      </c>
      <c r="I3">
        <v>5.57574297767214E-2</v>
      </c>
      <c r="J3">
        <v>-646822.91599999997</v>
      </c>
      <c r="K3">
        <v>875395.34047618997</v>
      </c>
      <c r="L3">
        <v>-6468229.1600000001</v>
      </c>
      <c r="M3">
        <v>-1.0569485228658301E-2</v>
      </c>
      <c r="N3">
        <v>2.0187324303373302E-2</v>
      </c>
      <c r="O3">
        <v>4124689.2149999999</v>
      </c>
      <c r="P3">
        <v>1542448.3266666599</v>
      </c>
      <c r="Q3">
        <v>6.7399964738956195E-2</v>
      </c>
      <c r="R3">
        <v>3.5570105473347997E-2</v>
      </c>
      <c r="S3">
        <v>1060022.63185714</v>
      </c>
      <c r="T3">
        <v>-1522218.2564761899</v>
      </c>
      <c r="U3">
        <v>0.107304973357644</v>
      </c>
      <c r="V3">
        <v>-3.0756809532031602</v>
      </c>
      <c r="W3">
        <v>3.1829859265608098</v>
      </c>
      <c r="X3">
        <v>8753953.4047618993</v>
      </c>
      <c r="Y3">
        <v>-15222182.564761899</v>
      </c>
      <c r="Z3">
        <v>15222182.564761899</v>
      </c>
      <c r="AA3">
        <v>3</v>
      </c>
    </row>
    <row r="4" spans="1:27" x14ac:dyDescent="0.3">
      <c r="A4" t="s">
        <v>29</v>
      </c>
      <c r="B4">
        <v>11</v>
      </c>
      <c r="C4">
        <v>19</v>
      </c>
      <c r="D4">
        <v>81930353.958181798</v>
      </c>
      <c r="E4">
        <v>47859723.608947299</v>
      </c>
      <c r="F4">
        <v>4703451.0054545403</v>
      </c>
      <c r="G4">
        <v>2664304.4226315701</v>
      </c>
      <c r="H4">
        <v>5.7407917557090501E-2</v>
      </c>
      <c r="I4">
        <v>5.5669030694809198E-2</v>
      </c>
      <c r="J4">
        <v>-1461371.64181818</v>
      </c>
      <c r="K4">
        <v>967611.44684210501</v>
      </c>
      <c r="L4">
        <v>-16075088.0599999</v>
      </c>
      <c r="M4">
        <v>-1.7836754892626001E-2</v>
      </c>
      <c r="N4">
        <v>2.0217656389917099E-2</v>
      </c>
      <c r="O4">
        <v>6164822.64727272</v>
      </c>
      <c r="P4">
        <v>1696692.9757894699</v>
      </c>
      <c r="Q4">
        <v>7.5244672449716499E-2</v>
      </c>
      <c r="R4">
        <v>3.5451374304892001E-2</v>
      </c>
      <c r="S4">
        <v>2039146.5828229601</v>
      </c>
      <c r="T4">
        <v>-2428983.0886602802</v>
      </c>
      <c r="U4">
        <v>0.17388868622812501</v>
      </c>
      <c r="V4">
        <v>-3.8054411282543201</v>
      </c>
      <c r="W4">
        <v>3.9793298144824401</v>
      </c>
      <c r="X4">
        <v>10643725.9152631</v>
      </c>
      <c r="Y4">
        <v>-26718813.9752631</v>
      </c>
      <c r="Z4">
        <v>26718813.9752631</v>
      </c>
      <c r="AA4">
        <v>2</v>
      </c>
    </row>
    <row r="5" spans="1:27" x14ac:dyDescent="0.3">
      <c r="A5" t="s">
        <v>30</v>
      </c>
      <c r="B5">
        <v>12</v>
      </c>
      <c r="C5">
        <v>19</v>
      </c>
      <c r="D5">
        <v>113999631.39416599</v>
      </c>
      <c r="E5">
        <v>54193675.382631503</v>
      </c>
      <c r="F5">
        <v>6625950.4649999999</v>
      </c>
      <c r="G5">
        <v>3019495.3773684199</v>
      </c>
      <c r="H5">
        <v>5.8122560432586103E-2</v>
      </c>
      <c r="I5">
        <v>5.57167484221993E-2</v>
      </c>
      <c r="J5">
        <v>-3562548.5483333301</v>
      </c>
      <c r="K5">
        <v>1080184.5994736799</v>
      </c>
      <c r="L5">
        <v>-42750582.579999901</v>
      </c>
      <c r="M5">
        <v>-3.12505269075425E-2</v>
      </c>
      <c r="N5">
        <v>1.9931931020494498E-2</v>
      </c>
      <c r="O5">
        <v>10188499.0133333</v>
      </c>
      <c r="P5">
        <v>1939310.77789473</v>
      </c>
      <c r="Q5">
        <v>8.9373087340128596E-2</v>
      </c>
      <c r="R5">
        <v>3.5784817401704798E-2</v>
      </c>
      <c r="S5">
        <v>3606455.0876315702</v>
      </c>
      <c r="T5">
        <v>-4642733.1478070104</v>
      </c>
      <c r="U5">
        <v>0.240581201038683</v>
      </c>
      <c r="V5">
        <v>-5.1182457928037</v>
      </c>
      <c r="W5">
        <v>5.3588269938423796</v>
      </c>
      <c r="X5">
        <v>12962215.1936842</v>
      </c>
      <c r="Y5">
        <v>-55712797.773684204</v>
      </c>
      <c r="Z5">
        <v>55712797.773684204</v>
      </c>
      <c r="AA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2290-1D3E-43FD-9E2D-D740255C2DDF}">
  <dimension ref="A1:F5"/>
  <sheetViews>
    <sheetView zoomScale="104" zoomScaleNormal="100" workbookViewId="0">
      <selection activeCell="H14" sqref="H14"/>
    </sheetView>
  </sheetViews>
  <sheetFormatPr defaultRowHeight="14.4" x14ac:dyDescent="0.3"/>
  <cols>
    <col min="1" max="1" width="7.6640625" bestFit="1" customWidth="1"/>
    <col min="2" max="2" width="16.5546875" bestFit="1" customWidth="1"/>
    <col min="3" max="3" width="20.44140625" bestFit="1" customWidth="1"/>
    <col min="4" max="4" width="17.5546875" bestFit="1" customWidth="1"/>
    <col min="6" max="6" width="14.21875" bestFit="1" customWidth="1"/>
  </cols>
  <sheetData>
    <row r="1" spans="1:6" x14ac:dyDescent="0.3">
      <c r="A1" t="s">
        <v>0</v>
      </c>
      <c r="B1" t="s">
        <v>40</v>
      </c>
      <c r="C1" t="s">
        <v>39</v>
      </c>
      <c r="D1" t="s">
        <v>18</v>
      </c>
      <c r="E1" t="s">
        <v>32</v>
      </c>
      <c r="F1" t="s">
        <v>33</v>
      </c>
    </row>
    <row r="2" spans="1:6" x14ac:dyDescent="0.3">
      <c r="A2" t="s">
        <v>27</v>
      </c>
      <c r="B2">
        <v>3202671.01888888</v>
      </c>
      <c r="C2">
        <v>2215814.6638095202</v>
      </c>
      <c r="D2">
        <v>986856.35507936403</v>
      </c>
      <c r="E2" t="str">
        <f>VALUE(RIGHT(A2,2))&amp;"."&amp;VALUE(RIGHT(A2,2))</f>
        <v>9.9</v>
      </c>
      <c r="F2" t="str">
        <f>IF(D2&gt;=0,"+","-")&amp;
"Rp"&amp;
TEXT(ABS(D2)/1000000,"0.0")&amp;
"M/day"</f>
        <v>+Rp1.0M/day</v>
      </c>
    </row>
    <row r="3" spans="1:6" x14ac:dyDescent="0.3">
      <c r="A3" t="s">
        <v>28</v>
      </c>
      <c r="B3">
        <v>3477866.2990000001</v>
      </c>
      <c r="C3">
        <v>2417843.6671428499</v>
      </c>
      <c r="D3">
        <v>1060022.63185714</v>
      </c>
      <c r="E3" t="str">
        <f>VALUE(RIGHT(A3,2))&amp;"."&amp;VALUE(RIGHT(A3,2))</f>
        <v>10.10</v>
      </c>
      <c r="F3" t="str">
        <f>IF(D3&gt;=0,"+","-")&amp;
"Rp"&amp;
TEXT(ABS(D3)/1000000,"0.0")&amp;
"M/day"</f>
        <v>+Rp1.1M/day</v>
      </c>
    </row>
    <row r="4" spans="1:6" x14ac:dyDescent="0.3">
      <c r="A4" t="s">
        <v>29</v>
      </c>
      <c r="B4">
        <v>4703451.0054545403</v>
      </c>
      <c r="C4">
        <v>2664304.4226315701</v>
      </c>
      <c r="D4">
        <v>2039146.5828229601</v>
      </c>
      <c r="E4" t="str">
        <f>VALUE(RIGHT(A4,2))&amp;"."&amp;VALUE(RIGHT(A4,2))</f>
        <v>11.11</v>
      </c>
      <c r="F4" t="str">
        <f>IF(D4&gt;=0,"+","-")&amp;
"Rp"&amp;
TEXT(ABS(D4)/1000000,"0.0")&amp;
"M/day"</f>
        <v>+Rp2.0M/day</v>
      </c>
    </row>
    <row r="5" spans="1:6" x14ac:dyDescent="0.3">
      <c r="A5" t="s">
        <v>30</v>
      </c>
      <c r="B5">
        <v>6625950.4649999999</v>
      </c>
      <c r="C5">
        <v>3019495.3773684199</v>
      </c>
      <c r="D5">
        <v>3606455.0876315702</v>
      </c>
      <c r="E5" t="str">
        <f>VALUE(RIGHT(A5,2))&amp;"."&amp;VALUE(RIGHT(A5,2))</f>
        <v>12.12</v>
      </c>
      <c r="F5" t="str">
        <f>IF(D5&gt;=0,"+","-")&amp;
"Rp"&amp;
TEXT(ABS(D5)/1000000,"0.0")&amp;
"M/day"</f>
        <v>+Rp3.6M/day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19E3-ED82-4C41-B188-98FCD0F2C336}">
  <dimension ref="A1:D5"/>
  <sheetViews>
    <sheetView workbookViewId="0">
      <selection activeCell="D2" sqref="D2"/>
    </sheetView>
  </sheetViews>
  <sheetFormatPr defaultRowHeight="14.4" x14ac:dyDescent="0.3"/>
  <cols>
    <col min="1" max="1" width="7.6640625" bestFit="1" customWidth="1"/>
    <col min="2" max="2" width="14.5546875" bestFit="1" customWidth="1"/>
    <col min="3" max="3" width="18.44140625" bestFit="1" customWidth="1"/>
    <col min="4" max="4" width="21.5546875" bestFit="1" customWidth="1"/>
  </cols>
  <sheetData>
    <row r="1" spans="1:4" x14ac:dyDescent="0.3">
      <c r="A1" t="s">
        <v>0</v>
      </c>
      <c r="B1" t="s">
        <v>7</v>
      </c>
      <c r="C1" t="s">
        <v>8</v>
      </c>
      <c r="D1" t="s">
        <v>20</v>
      </c>
    </row>
    <row r="2" spans="1:4" x14ac:dyDescent="0.3">
      <c r="A2" t="s">
        <v>27</v>
      </c>
      <c r="B2" s="3">
        <v>5.68315178762933E-2</v>
      </c>
      <c r="C2" s="3">
        <v>5.5708582177504601E-2</v>
      </c>
      <c r="D2">
        <v>0.11229356987886099</v>
      </c>
    </row>
    <row r="3" spans="1:4" x14ac:dyDescent="0.3">
      <c r="A3" t="s">
        <v>28</v>
      </c>
      <c r="B3" s="3">
        <v>5.68304795102978E-2</v>
      </c>
      <c r="C3" s="3">
        <v>5.57574297767214E-2</v>
      </c>
      <c r="D3">
        <v>0.107304973357644</v>
      </c>
    </row>
    <row r="4" spans="1:4" x14ac:dyDescent="0.3">
      <c r="A4" t="s">
        <v>29</v>
      </c>
      <c r="B4" s="3">
        <v>5.7407917557090501E-2</v>
      </c>
      <c r="C4" s="3">
        <v>5.5669030694809198E-2</v>
      </c>
      <c r="D4">
        <v>0.17388868622812501</v>
      </c>
    </row>
    <row r="5" spans="1:4" x14ac:dyDescent="0.3">
      <c r="A5" t="s">
        <v>30</v>
      </c>
      <c r="B5" s="3">
        <v>5.8122560432586103E-2</v>
      </c>
      <c r="C5" s="3">
        <v>5.57167484221993E-2</v>
      </c>
      <c r="D5">
        <v>0.240581201038683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64181-FEF9-4C43-9EED-358AA0736081}">
  <dimension ref="A1:N5"/>
  <sheetViews>
    <sheetView zoomScale="110" workbookViewId="0">
      <selection activeCell="I11" sqref="I11"/>
    </sheetView>
  </sheetViews>
  <sheetFormatPr defaultRowHeight="14.4" x14ac:dyDescent="0.3"/>
  <cols>
    <col min="1" max="1" width="7.88671875" bestFit="1" customWidth="1"/>
    <col min="2" max="2" width="19.5546875" bestFit="1" customWidth="1"/>
    <col min="3" max="3" width="23.44140625" bestFit="1" customWidth="1"/>
    <col min="4" max="4" width="17.6640625" bestFit="1" customWidth="1"/>
    <col min="6" max="6" width="23.77734375" bestFit="1" customWidth="1"/>
    <col min="7" max="7" width="23.77734375" customWidth="1"/>
    <col min="9" max="9" width="15.6640625" bestFit="1" customWidth="1"/>
    <col min="11" max="11" width="19.77734375" customWidth="1"/>
    <col min="12" max="12" width="25.33203125" customWidth="1"/>
    <col min="13" max="13" width="21.44140625" customWidth="1"/>
    <col min="14" max="14" width="19.77734375" customWidth="1"/>
  </cols>
  <sheetData>
    <row r="1" spans="1:14" x14ac:dyDescent="0.3">
      <c r="A1" t="s">
        <v>0</v>
      </c>
      <c r="B1" t="s">
        <v>9</v>
      </c>
      <c r="C1" t="s">
        <v>10</v>
      </c>
      <c r="D1" t="s">
        <v>19</v>
      </c>
      <c r="E1" t="s">
        <v>1</v>
      </c>
      <c r="F1" t="s">
        <v>25</v>
      </c>
      <c r="G1" t="s">
        <v>32</v>
      </c>
      <c r="H1" t="s">
        <v>31</v>
      </c>
      <c r="I1" t="s">
        <v>34</v>
      </c>
      <c r="K1" t="s">
        <v>32</v>
      </c>
      <c r="L1" t="s">
        <v>39</v>
      </c>
      <c r="M1" t="s">
        <v>40</v>
      </c>
      <c r="N1" t="s">
        <v>34</v>
      </c>
    </row>
    <row r="2" spans="1:14" x14ac:dyDescent="0.3">
      <c r="A2" t="s">
        <v>27</v>
      </c>
      <c r="B2">
        <v>-198529.63666666599</v>
      </c>
      <c r="C2">
        <v>816824.60095238104</v>
      </c>
      <c r="D2">
        <v>-1015354.23761904</v>
      </c>
      <c r="E2">
        <v>9</v>
      </c>
      <c r="F2">
        <f>ABS(D2*E2)</f>
        <v>9138188.1385713592</v>
      </c>
      <c r="G2" t="str">
        <f>VALUE(RIGHT(A2,2))&amp;"."&amp;VALUE(RIGHT(A2,2))</f>
        <v>9.9</v>
      </c>
      <c r="H2">
        <f>_xlfn.RANK.EQ(F2,$F$2:$F$5,0)</f>
        <v>4</v>
      </c>
      <c r="I2" t="str">
        <f>"Gap "&amp;
IF(D2&gt;=0,"+","-")&amp;
"Rp"&amp;
TEXT(ABS(D2)/1000000,"0.0")&amp;
"M/day"</f>
        <v>Gap -Rp1.0M/day</v>
      </c>
      <c r="K2" s="2">
        <v>9.9</v>
      </c>
      <c r="L2">
        <v>816824.60095238104</v>
      </c>
      <c r="M2">
        <v>-198529.63666666599</v>
      </c>
      <c r="N2" t="s">
        <v>35</v>
      </c>
    </row>
    <row r="3" spans="1:14" x14ac:dyDescent="0.3">
      <c r="A3" t="s">
        <v>28</v>
      </c>
      <c r="B3">
        <v>-646822.91599999997</v>
      </c>
      <c r="C3">
        <v>875395.34047618997</v>
      </c>
      <c r="D3">
        <v>-1522218.2564761899</v>
      </c>
      <c r="E3">
        <v>10</v>
      </c>
      <c r="F3">
        <f>ABS(D3*E3)</f>
        <v>15222182.564761899</v>
      </c>
      <c r="G3" t="str">
        <f>VALUE(RIGHT(A3,2))&amp;"."&amp;VALUE(RIGHT(A3,2))</f>
        <v>10.10</v>
      </c>
      <c r="H3">
        <f>_xlfn.RANK.EQ(F3,$F$2:$F$5,0)</f>
        <v>3</v>
      </c>
      <c r="I3" t="str">
        <f t="shared" ref="I3:I5" si="0">"Gap "&amp;
IF(D3&gt;=0,"+","-")&amp;
"Rp"&amp;
TEXT(ABS(D3)/1000000,"0.0")&amp;
"M/day"</f>
        <v>Gap -Rp1.5M/day</v>
      </c>
      <c r="K3" s="1">
        <v>10.1</v>
      </c>
      <c r="L3">
        <v>875395.34047618997</v>
      </c>
      <c r="M3">
        <v>-646822.91599999997</v>
      </c>
      <c r="N3" t="s">
        <v>36</v>
      </c>
    </row>
    <row r="4" spans="1:14" x14ac:dyDescent="0.3">
      <c r="A4" t="s">
        <v>29</v>
      </c>
      <c r="B4">
        <v>-1461371.64181818</v>
      </c>
      <c r="C4">
        <v>967611.44684210501</v>
      </c>
      <c r="D4">
        <v>-2428983.0886602802</v>
      </c>
      <c r="E4">
        <v>11</v>
      </c>
      <c r="F4">
        <f>ABS(D4*E4)</f>
        <v>26718813.975263081</v>
      </c>
      <c r="G4" t="str">
        <f>VALUE(RIGHT(A4,2))&amp;"."&amp;VALUE(RIGHT(A4,2))</f>
        <v>11.11</v>
      </c>
      <c r="H4">
        <f>_xlfn.RANK.EQ(F4,$F$2:$F$5,0)</f>
        <v>2</v>
      </c>
      <c r="I4" t="str">
        <f t="shared" si="0"/>
        <v>Gap -Rp2.4M/day</v>
      </c>
      <c r="K4" s="1">
        <v>11.11</v>
      </c>
      <c r="L4">
        <v>967611.44684210501</v>
      </c>
      <c r="M4">
        <v>-1461371.64181818</v>
      </c>
      <c r="N4" t="s">
        <v>37</v>
      </c>
    </row>
    <row r="5" spans="1:14" x14ac:dyDescent="0.3">
      <c r="A5" t="s">
        <v>30</v>
      </c>
      <c r="B5">
        <v>-3562548.5483333301</v>
      </c>
      <c r="C5">
        <v>1080184.5994736799</v>
      </c>
      <c r="D5">
        <v>-4642733.1478070104</v>
      </c>
      <c r="E5">
        <v>12</v>
      </c>
      <c r="F5">
        <f>ABS(D5*E5)</f>
        <v>55712797.773684129</v>
      </c>
      <c r="G5" t="str">
        <f>VALUE(RIGHT(A5,2))&amp;"."&amp;VALUE(RIGHT(A5,2))</f>
        <v>12.12</v>
      </c>
      <c r="H5">
        <f>_xlfn.RANK.EQ(F5,$F$2:$F$5,0)</f>
        <v>1</v>
      </c>
      <c r="I5" t="str">
        <f t="shared" si="0"/>
        <v>Gap -Rp4.6M/day</v>
      </c>
      <c r="K5" s="1">
        <v>12.12</v>
      </c>
      <c r="L5">
        <v>1080184.5994736799</v>
      </c>
      <c r="M5">
        <v>-3562548.5483333301</v>
      </c>
      <c r="N5" t="s">
        <v>38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593C-16E3-4595-8402-773A6997B85B}">
  <dimension ref="A1:D5"/>
  <sheetViews>
    <sheetView workbookViewId="0">
      <selection activeCell="B2" sqref="B2"/>
    </sheetView>
  </sheetViews>
  <sheetFormatPr defaultRowHeight="14.4" x14ac:dyDescent="0.3"/>
  <cols>
    <col min="1" max="1" width="7.6640625" bestFit="1" customWidth="1"/>
    <col min="2" max="2" width="14.5546875" bestFit="1" customWidth="1"/>
    <col min="3" max="3" width="18.44140625" bestFit="1" customWidth="1"/>
    <col min="4" max="4" width="21.5546875" bestFit="1" customWidth="1"/>
  </cols>
  <sheetData>
    <row r="1" spans="1:4" x14ac:dyDescent="0.3">
      <c r="A1" t="s">
        <v>0</v>
      </c>
      <c r="B1" t="s">
        <v>12</v>
      </c>
      <c r="C1" t="s">
        <v>13</v>
      </c>
      <c r="D1" t="s">
        <v>21</v>
      </c>
    </row>
    <row r="2" spans="1:4" x14ac:dyDescent="0.3">
      <c r="A2" t="s">
        <v>27</v>
      </c>
      <c r="B2">
        <v>-3.5229158813539401E-3</v>
      </c>
      <c r="C2">
        <v>2.05360769336775E-2</v>
      </c>
      <c r="D2">
        <v>-2.4058992815031401</v>
      </c>
    </row>
    <row r="3" spans="1:4" x14ac:dyDescent="0.3">
      <c r="A3" t="s">
        <v>28</v>
      </c>
      <c r="B3">
        <v>-1.0569485228658301E-2</v>
      </c>
      <c r="C3">
        <v>2.0187324303373302E-2</v>
      </c>
      <c r="D3">
        <v>-3.0756809532031602</v>
      </c>
    </row>
    <row r="4" spans="1:4" x14ac:dyDescent="0.3">
      <c r="A4" t="s">
        <v>29</v>
      </c>
      <c r="B4">
        <v>-1.7836754892626001E-2</v>
      </c>
      <c r="C4">
        <v>2.0217656389917099E-2</v>
      </c>
      <c r="D4">
        <v>-3.8054411282543201</v>
      </c>
    </row>
    <row r="5" spans="1:4" x14ac:dyDescent="0.3">
      <c r="A5" t="s">
        <v>30</v>
      </c>
      <c r="B5">
        <v>-3.12505269075425E-2</v>
      </c>
      <c r="C5">
        <v>1.9931931020494498E-2</v>
      </c>
      <c r="D5">
        <v>-5.1182457928037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bquxjob_6292ef86_19f7e4ad6bb</vt:lpstr>
      <vt:lpstr>GPBD</vt:lpstr>
      <vt:lpstr>GPBD MARGIN</vt:lpstr>
      <vt:lpstr>GPAD_TP</vt:lpstr>
      <vt:lpstr>GPAD_TP MARGIN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Christian</dc:creator>
  <cp:lastModifiedBy>Bryan Christian</cp:lastModifiedBy>
  <dcterms:created xsi:type="dcterms:W3CDTF">2026-07-20T08:12:22Z</dcterms:created>
  <dcterms:modified xsi:type="dcterms:W3CDTF">2026-07-21T09:30:03Z</dcterms:modified>
</cp:coreProperties>
</file>